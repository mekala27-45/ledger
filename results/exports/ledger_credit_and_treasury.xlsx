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pected loss" sheetId="2" state="visible" r:id="rId2"/>
    <sheet name="Rate shocks" sheetId="3" state="visible" r:id="rId3"/>
    <sheet name="Stress scenarios" sheetId="4" state="visible" r:id="rId4"/>
    <sheet name="Deposit betas" sheetId="5" state="visible" r:id="rId5"/>
    <sheet name="Model inventory" sheetId="6" state="visible" r:id="rId6"/>
    <sheet name="Charge off back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ledger: the credit and treasury workbook</t>
        </is>
      </c>
    </row>
    <row r="2">
      <c r="A2" t="inlineStr">
        <is>
          <t>Harborline Bank is fictional. This is a demonstration on generated data and public datasets; no real customer, account or transaction of any real institution appears here.</t>
        </is>
      </c>
    </row>
    <row r="3">
      <c r="A3" t="inlineStr">
        <is>
          <t>Nothing here is a credit decision, a fraud determination, a suspicious activity finding or investment advice.</t>
        </is>
      </c>
    </row>
    <row r="4">
      <c r="A4" t="inlineStr">
        <is>
          <t>Data as of 2026-08-31, seed 20260831. Every figure is read from results/manifest.json and the committed results.</t>
        </is>
      </c>
    </row>
    <row r="5">
      <c r="A5" t="inlineStr">
        <is>
          <t>Expected loss and Rate shocks carry live formulas: change an input in a shaded column and the result moves.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1" customWidth="1" min="3" max="3"/>
    <col width="37" customWidth="1" min="4" max="4"/>
    <col width="14" customWidth="1" min="5" max="5"/>
    <col width="15" customWidth="1" min="6" max="6"/>
    <col width="10" customWidth="1" min="7" max="7"/>
  </cols>
  <sheetData>
    <row r="1">
      <c r="A1" s="1" t="inlineStr">
        <is>
          <t>Score band</t>
        </is>
      </c>
      <c r="B1" s="1" t="inlineStr">
        <is>
          <t>Loans</t>
        </is>
      </c>
      <c r="C1" s="1" t="inlineStr">
        <is>
          <t>Exposure at default</t>
        </is>
      </c>
      <c r="D1" s="1" t="inlineStr">
        <is>
          <t>PD, exposure weighted, with overlay</t>
        </is>
      </c>
      <c r="E1" s="1" t="inlineStr">
        <is>
          <t>LGD</t>
        </is>
      </c>
      <c r="F1" s="1" t="inlineStr">
        <is>
          <t>Expected loss</t>
        </is>
      </c>
      <c r="G1" s="1" t="inlineStr">
        <is>
          <t>EL rate</t>
        </is>
      </c>
    </row>
    <row r="2">
      <c r="A2" t="inlineStr">
        <is>
          <t>under 560</t>
        </is>
      </c>
      <c r="B2" t="n">
        <v>371</v>
      </c>
      <c r="C2" s="2" t="n">
        <v>4586185.64</v>
      </c>
      <c r="D2" s="3" t="n">
        <v>0.2436988396230174</v>
      </c>
      <c r="E2" s="4" t="n">
        <v>0.7961207535</v>
      </c>
      <c r="F2" s="2">
        <f>D2*E2*C2</f>
        <v/>
      </c>
      <c r="G2" s="3">
        <f>F2/C2</f>
        <v/>
      </c>
    </row>
    <row r="3">
      <c r="A3" t="inlineStr">
        <is>
          <t>560 to 599</t>
        </is>
      </c>
      <c r="B3" t="n">
        <v>7032</v>
      </c>
      <c r="C3" s="2" t="n">
        <v>71197407.36</v>
      </c>
      <c r="D3" s="3" t="n">
        <v>0.1021116451259765</v>
      </c>
      <c r="E3" s="4" t="n">
        <v>0.7961207535</v>
      </c>
      <c r="F3" s="2">
        <f>D3*E3*C3</f>
        <v/>
      </c>
      <c r="G3" s="3">
        <f>F3/C3</f>
        <v/>
      </c>
    </row>
    <row r="4">
      <c r="A4" t="inlineStr">
        <is>
          <t>600 to 639</t>
        </is>
      </c>
      <c r="B4" t="n">
        <v>6701</v>
      </c>
      <c r="C4" s="2" t="n">
        <v>62352293.77</v>
      </c>
      <c r="D4" s="3" t="n">
        <v>0.03275563565667054</v>
      </c>
      <c r="E4" s="4" t="n">
        <v>0.7961207535</v>
      </c>
      <c r="F4" s="2">
        <f>D4*E4*C4</f>
        <v/>
      </c>
      <c r="G4" s="3">
        <f>F4/C4</f>
        <v/>
      </c>
    </row>
    <row r="5">
      <c r="A5" t="inlineStr">
        <is>
          <t>640 and over</t>
        </is>
      </c>
      <c r="B5" t="n">
        <v>1724</v>
      </c>
      <c r="C5" s="2" t="n">
        <v>14005043.77</v>
      </c>
      <c r="D5" s="3" t="n">
        <v>0.009473671460926859</v>
      </c>
      <c r="E5" s="4" t="n">
        <v>0.7961207535</v>
      </c>
      <c r="F5" s="2">
        <f>D5*E5*C5</f>
        <v/>
      </c>
      <c r="G5" s="3">
        <f>F5/C5</f>
        <v/>
      </c>
    </row>
    <row r="6">
      <c r="A6" t="inlineStr">
        <is>
          <t>Total</t>
        </is>
      </c>
      <c r="B6">
        <f>SUM(B2:B5)</f>
        <v/>
      </c>
      <c r="C6" s="2">
        <f>SUM(C2:C5)</f>
        <v/>
      </c>
      <c r="D6" s="3" t="n"/>
      <c r="E6" s="4" t="n"/>
      <c r="F6" s="2">
        <f>SUM(F2:F5)</f>
        <v/>
      </c>
      <c r="G6" s="3">
        <f>F6/C6</f>
        <v/>
      </c>
    </row>
    <row r="7"/>
    <row r="8">
      <c r="A8" t="inlineStr">
        <is>
          <t>Source: Source: generated, Harborline installment loans, seed 20260831, as of 2026-08-31.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21" customWidth="1" min="4" max="4"/>
    <col width="15" customWidth="1" min="5" max="5"/>
    <col width="28" customWidth="1" min="6" max="6"/>
  </cols>
  <sheetData>
    <row r="1">
      <c r="A1" s="1" t="inlineStr">
        <is>
          <t>Shock, basis points</t>
        </is>
      </c>
      <c r="B1" t="n">
        <v>200</v>
      </c>
    </row>
    <row r="2">
      <c r="A2" s="1" t="inlineStr">
        <is>
          <t>Position</t>
        </is>
      </c>
      <c r="B2" s="1" t="inlineStr">
        <is>
          <t>Side</t>
        </is>
      </c>
      <c r="C2" s="1" t="inlineStr">
        <is>
          <t>Balance</t>
        </is>
      </c>
      <c r="D2" s="1" t="inlineStr">
        <is>
          <t>Repricing weight</t>
        </is>
      </c>
      <c r="E2" s="1" t="inlineStr">
        <is>
          <t>Beta</t>
        </is>
      </c>
      <c r="F2" s="1" t="inlineStr">
        <is>
          <t>Change in NII at the shock</t>
        </is>
      </c>
    </row>
    <row r="3">
      <c r="A3" t="inlineStr">
        <is>
          <t>Cash</t>
        </is>
      </c>
      <c r="B3" t="inlineStr">
        <is>
          <t>asset</t>
        </is>
      </c>
      <c r="C3" s="2" t="n">
        <v>31008438.22</v>
      </c>
      <c r="D3" s="4" t="n">
        <v>1</v>
      </c>
      <c r="E3" s="5" t="n">
        <v>1</v>
      </c>
      <c r="F3" s="2">
        <f>C3*D3*E3*$B$1/10000</f>
        <v/>
      </c>
    </row>
    <row r="4">
      <c r="A4" t="inlineStr">
        <is>
          <t>Securities</t>
        </is>
      </c>
      <c r="B4" t="inlineStr">
        <is>
          <t>asset</t>
        </is>
      </c>
      <c r="C4" s="2" t="n">
        <v>296389329.42</v>
      </c>
      <c r="D4" s="4" t="n">
        <v>0.09166666666666666</v>
      </c>
      <c r="E4" s="5" t="n">
        <v>1</v>
      </c>
      <c r="F4" s="2">
        <f>C4*D4*E4*$B$1/10000</f>
        <v/>
      </c>
    </row>
    <row r="5">
      <c r="A5" t="inlineStr">
        <is>
          <t>Card loans</t>
        </is>
      </c>
      <c r="B5" t="inlineStr">
        <is>
          <t>asset</t>
        </is>
      </c>
      <c r="C5" s="2" t="n">
        <v>49325083.28</v>
      </c>
      <c r="D5" s="4" t="n">
        <v>1</v>
      </c>
      <c r="E5" s="5" t="n">
        <v>1</v>
      </c>
      <c r="F5" s="2">
        <f>C5*D5*E5*$B$1/10000</f>
        <v/>
      </c>
    </row>
    <row r="6">
      <c r="A6" t="inlineStr">
        <is>
          <t>Installment loans</t>
        </is>
      </c>
      <c r="B6" t="inlineStr">
        <is>
          <t>asset</t>
        </is>
      </c>
      <c r="C6" s="2" t="n">
        <v>152140930.54</v>
      </c>
      <c r="D6" s="4" t="n">
        <v>0.2070322653077</v>
      </c>
      <c r="E6" s="5" t="n">
        <v>1</v>
      </c>
      <c r="F6" s="2">
        <f>C6*D6*E6*$B$1/10000</f>
        <v/>
      </c>
    </row>
    <row r="7">
      <c r="A7" t="inlineStr">
        <is>
          <t>Mortgages</t>
        </is>
      </c>
      <c r="B7" t="inlineStr">
        <is>
          <t>asset</t>
        </is>
      </c>
      <c r="C7" s="2" t="n">
        <v>518486185.27</v>
      </c>
      <c r="D7" s="4" t="n">
        <v>0.1204536532358788</v>
      </c>
      <c r="E7" s="5" t="n">
        <v>1</v>
      </c>
      <c r="F7" s="2">
        <f>C7*D7*E7*$B$1/10000</f>
        <v/>
      </c>
    </row>
    <row r="8">
      <c r="A8" t="inlineStr">
        <is>
          <t>Checking</t>
        </is>
      </c>
      <c r="B8" t="inlineStr">
        <is>
          <t>liability</t>
        </is>
      </c>
      <c r="C8" s="2" t="n">
        <v>455708432.88</v>
      </c>
      <c r="D8" s="4" t="n">
        <v>1</v>
      </c>
      <c r="E8" s="5" t="n">
        <v>0.01998035703</v>
      </c>
      <c r="F8" s="2">
        <f>-C8*D8*E8*$B$1/10000</f>
        <v/>
      </c>
    </row>
    <row r="9">
      <c r="A9" t="inlineStr">
        <is>
          <t>Savings</t>
        </is>
      </c>
      <c r="B9" t="inlineStr">
        <is>
          <t>liability</t>
        </is>
      </c>
      <c r="C9" s="2" t="n">
        <v>347348783.62</v>
      </c>
      <c r="D9" s="4" t="n">
        <v>1</v>
      </c>
      <c r="E9" s="5" t="n">
        <v>0.3799485788</v>
      </c>
      <c r="F9" s="2">
        <f>-C9*D9*E9*$B$1/10000</f>
        <v/>
      </c>
    </row>
    <row r="10">
      <c r="A10" t="inlineStr">
        <is>
          <t>Time deposits</t>
        </is>
      </c>
      <c r="B10" t="inlineStr">
        <is>
          <t>liability</t>
        </is>
      </c>
      <c r="C10" s="2" t="n">
        <v>127571243.31</v>
      </c>
      <c r="D10" s="4" t="n">
        <v>0.6610575646744474</v>
      </c>
      <c r="E10" s="5" t="n">
        <v>0.7200514212</v>
      </c>
      <c r="F10" s="2">
        <f>-C10*D10*E10*$B$1/10000</f>
        <v/>
      </c>
    </row>
    <row r="11">
      <c r="A11" t="inlineStr">
        <is>
          <t>Total</t>
        </is>
      </c>
      <c r="C11" s="2" t="n"/>
      <c r="D11" s="4" t="n"/>
      <c r="E11" s="5" t="n"/>
      <c r="F11" s="2">
        <f>SUM(F3:F10)</f>
        <v/>
      </c>
    </row>
    <row r="12"/>
    <row r="13">
      <c r="A13" t="inlineStr">
        <is>
          <t>A rise, before any floor. The published table applies each deposit's floor to a fall.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4" customWidth="1" min="3" max="3"/>
    <col width="13" customWidth="1" min="4" max="4"/>
    <col width="13" customWidth="1" min="5" max="5"/>
    <col width="16" customWidth="1" min="6" max="6"/>
    <col width="29" customWidth="1" min="7" max="7"/>
    <col width="14" customWidth="1" min="8" max="8"/>
    <col width="32" customWidth="1" min="9" max="9"/>
  </cols>
  <sheetData>
    <row r="1">
      <c r="A1" s="1" t="inlineStr">
        <is>
          <t>Scenario</t>
        </is>
      </c>
      <c r="B1" s="1" t="inlineStr">
        <is>
          <t>Peak unemployment, bank</t>
        </is>
      </c>
      <c r="C1" s="1" t="inlineStr">
        <is>
          <t>Losses over 9 quarters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Share of loans</t>
        </is>
      </c>
      <c r="G1" s="1" t="inlineStr">
        <is>
          <t>Capital ratio at its lowest</t>
        </is>
      </c>
      <c r="H1" s="1" t="inlineStr">
        <is>
          <t>Low</t>
        </is>
      </c>
      <c r="I1" s="1" t="inlineStr">
        <is>
          <t>Capital ratio after 9 quarters</t>
        </is>
      </c>
    </row>
    <row r="2">
      <c r="A2" t="inlineStr">
        <is>
          <t>Baseline</t>
        </is>
      </c>
      <c r="B2" t="n">
        <v>5.14</v>
      </c>
      <c r="C2" t="n">
        <v>27184158.89</v>
      </c>
      <c r="D2" t="n">
        <v>27176429.85</v>
      </c>
      <c r="E2" t="n">
        <v>27192043.14</v>
      </c>
      <c r="F2" t="n">
        <v>0.03775828302</v>
      </c>
      <c r="G2" t="n">
        <v>0.1980552457</v>
      </c>
      <c r="H2" t="n">
        <v>0.1980552457</v>
      </c>
      <c r="I2" t="n">
        <v>0.2879040412</v>
      </c>
    </row>
    <row r="3">
      <c r="A3" t="inlineStr">
        <is>
          <t>Severely adverse</t>
        </is>
      </c>
      <c r="B3" t="n">
        <v>10.54</v>
      </c>
      <c r="C3" t="n">
        <v>59781332.99</v>
      </c>
      <c r="D3" t="n">
        <v>55859370.29</v>
      </c>
      <c r="E3" t="n">
        <v>63900217.69</v>
      </c>
      <c r="F3" t="n">
        <v>0.08303514187</v>
      </c>
      <c r="G3" t="n">
        <v>0.1980552457</v>
      </c>
      <c r="H3" t="n">
        <v>0.1980552457</v>
      </c>
      <c r="I3" t="n">
        <v>0.2172850909</v>
      </c>
    </row>
    <row r="4"/>
    <row r="5">
      <c r="A5" t="inlineStr">
        <is>
          <t>Source: Source: real:frb_scenarios, The Federal Reserve Board's 2026 supervisory scenarios, applied to Harborline, as of 2026-08-31.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31" customWidth="1" min="3" max="3"/>
    <col width="13" customWidth="1" min="4" max="4"/>
    <col width="36" customWidth="1" min="5" max="5"/>
    <col width="29" customWidth="1" min="6" max="6"/>
  </cols>
  <sheetData>
    <row r="1">
      <c r="A1" s="1" t="inlineStr">
        <is>
          <t>Product</t>
        </is>
      </c>
      <c r="B1" s="1" t="inlineStr">
        <is>
          <t>Generator's beta</t>
        </is>
      </c>
      <c r="C1" s="1" t="inlineStr">
        <is>
          <t>Recovered from the rate sheet</t>
        </is>
      </c>
      <c r="D1" s="1" t="inlineStr">
        <is>
          <t>Within 0.02</t>
        </is>
      </c>
      <c r="E1" s="1" t="inlineStr">
        <is>
          <t>Paid rate beta, first year of cuts</t>
        </is>
      </c>
      <c r="F1" s="1" t="inlineStr">
        <is>
          <t>Paid rate beta, whole cycle</t>
        </is>
      </c>
    </row>
    <row r="2">
      <c r="A2" t="inlineStr">
        <is>
          <t>Checking</t>
        </is>
      </c>
      <c r="B2" t="n">
        <v>0.02</v>
      </c>
      <c r="C2" t="n">
        <v>0.01998035703</v>
      </c>
      <c r="D2" t="inlineStr">
        <is>
          <t>yes</t>
        </is>
      </c>
      <c r="E2" t="n">
        <v>0.006807399717</v>
      </c>
      <c r="F2" t="n">
        <v>0.006644190219</v>
      </c>
    </row>
    <row r="3">
      <c r="A3" t="inlineStr">
        <is>
          <t>Savings</t>
        </is>
      </c>
      <c r="B3" t="n">
        <v>0.38</v>
      </c>
      <c r="C3" t="n">
        <v>0.3799485788</v>
      </c>
      <c r="D3" t="inlineStr">
        <is>
          <t>yes</t>
        </is>
      </c>
      <c r="E3" t="n">
        <v>0.382391335</v>
      </c>
      <c r="F3" t="n">
        <v>0.3824235125</v>
      </c>
    </row>
    <row r="4">
      <c r="A4" t="inlineStr">
        <is>
          <t>Time deposits</t>
        </is>
      </c>
      <c r="B4" t="n">
        <v>0.72</v>
      </c>
      <c r="C4" t="n">
        <v>0.7200514212</v>
      </c>
      <c r="D4" t="inlineStr">
        <is>
          <t>yes</t>
        </is>
      </c>
      <c r="E4" t="n">
        <v>0.3213387447</v>
      </c>
      <c r="F4" t="n">
        <v>0.6559069865</v>
      </c>
    </row>
    <row r="5"/>
    <row r="6">
      <c r="A6" t="inlineStr">
        <is>
          <t>Source: Source: generated, Harborline deposit accounts, September 2023 to August 2026, seed 20260831, as of 2026-08-31.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0" customWidth="1" min="3" max="3"/>
    <col width="10" customWidth="1" min="4" max="4"/>
    <col width="12" customWidth="1" min="5" max="5"/>
    <col width="13" customWidth="1" min="6" max="6"/>
    <col width="16" customWidth="1" min="7" max="7"/>
    <col width="26" customWidth="1" min="8" max="8"/>
    <col width="14" customWidth="1" min="9" max="9"/>
  </cols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Function</t>
        </is>
      </c>
      <c r="D1" s="1" t="inlineStr">
        <is>
          <t>Tier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Last validated</t>
        </is>
      </c>
      <c r="H1" s="1" t="inlineStr">
        <is>
          <t>Conclusion</t>
        </is>
      </c>
      <c r="I1" s="1" t="inlineStr">
        <is>
          <t>Test AUROC</t>
        </is>
      </c>
    </row>
    <row r="2">
      <c r="A2" t="inlineStr">
        <is>
          <t>pd_scorecard</t>
        </is>
      </c>
      <c r="B2" t="inlineStr">
        <is>
          <t>Probability of default scorecard (champion)</t>
        </is>
      </c>
      <c r="C2" t="inlineStr">
        <is>
          <t>f02</t>
        </is>
      </c>
      <c r="D2" t="inlineStr">
        <is>
          <t>1</t>
        </is>
      </c>
      <c r="E2" t="inlineStr">
        <is>
          <t>champion</t>
        </is>
      </c>
      <c r="F2" t="inlineStr">
        <is>
          <t>in use</t>
        </is>
      </c>
      <c r="G2" t="inlineStr">
        <is>
          <t>2026-08-31</t>
        </is>
      </c>
      <c r="H2" t="inlineStr">
        <is>
          <t>approved with conditions</t>
        </is>
      </c>
      <c r="I2" t="n">
        <v>0.6618484974</v>
      </c>
    </row>
    <row r="3">
      <c r="A3" t="inlineStr">
        <is>
          <t>pd_challenger</t>
        </is>
      </c>
      <c r="B3" t="inlineStr">
        <is>
          <t>Probability of default challenger (monotone GBM)</t>
        </is>
      </c>
      <c r="C3" t="inlineStr">
        <is>
          <t>f02</t>
        </is>
      </c>
      <c r="D3" t="inlineStr">
        <is>
          <t>1</t>
        </is>
      </c>
      <c r="E3" t="inlineStr">
        <is>
          <t>challenger</t>
        </is>
      </c>
      <c r="F3" t="inlineStr">
        <is>
          <t>validated</t>
        </is>
      </c>
      <c r="G3" t="inlineStr">
        <is>
          <t>2026-08-31</t>
        </is>
      </c>
      <c r="H3" t="inlineStr">
        <is>
          <t>not approved</t>
        </is>
      </c>
      <c r="I3" t="n">
        <v>0.6671986744</v>
      </c>
    </row>
    <row r="4">
      <c r="A4" t="inlineStr">
        <is>
          <t>fraud_card</t>
        </is>
      </c>
      <c r="B4" t="inlineStr">
        <is>
          <t>Card transaction fraud (the desk's model)</t>
        </is>
      </c>
      <c r="C4" t="inlineStr">
        <is>
          <t>f04</t>
        </is>
      </c>
      <c r="D4" t="inlineStr">
        <is>
          <t>1</t>
        </is>
      </c>
      <c r="E4" t="inlineStr">
        <is>
          <t>sole</t>
        </is>
      </c>
      <c r="F4" t="inlineStr">
        <is>
          <t>in use</t>
        </is>
      </c>
      <c r="G4" t="inlineStr">
        <is>
          <t>2026-08-31</t>
        </is>
      </c>
      <c r="H4" t="inlineStr">
        <is>
          <t>approved</t>
        </is>
      </c>
      <c r="I4" t="n">
        <v>0.9996245673</v>
      </c>
    </row>
    <row r="5">
      <c r="A5" t="inlineStr">
        <is>
          <t>fraud_account</t>
        </is>
      </c>
      <c r="B5" t="inlineStr">
        <is>
          <t>Application fraud on the BAF suite</t>
        </is>
      </c>
      <c r="C5" t="inlineStr">
        <is>
          <t>f04</t>
        </is>
      </c>
      <c r="D5" t="inlineStr">
        <is>
          <t>1</t>
        </is>
      </c>
      <c r="E5" t="inlineStr">
        <is>
          <t>sole</t>
        </is>
      </c>
      <c r="F5" t="inlineStr">
        <is>
          <t>in use</t>
        </is>
      </c>
      <c r="G5" t="inlineStr">
        <is>
          <t>2026-08-31</t>
        </is>
      </c>
      <c r="H5" t="inlineStr">
        <is>
          <t>approved with conditions</t>
        </is>
      </c>
      <c r="I5" t="n">
        <v>0.8800948352</v>
      </c>
    </row>
    <row r="6">
      <c r="A6" t="inlineStr">
        <is>
          <t>aml_triage</t>
        </is>
      </c>
      <c r="B6" t="inlineStr">
        <is>
          <t>Alert triage for transaction monitoring</t>
        </is>
      </c>
      <c r="C6" t="inlineStr">
        <is>
          <t>f05</t>
        </is>
      </c>
      <c r="D6" t="inlineStr">
        <is>
          <t>2</t>
        </is>
      </c>
      <c r="E6" t="inlineStr">
        <is>
          <t>sole</t>
        </is>
      </c>
      <c r="F6" t="inlineStr">
        <is>
          <t>in use</t>
        </is>
      </c>
      <c r="G6" t="inlineStr">
        <is>
          <t>2026-08-31</t>
        </is>
      </c>
      <c r="H6" t="inlineStr">
        <is>
          <t>approved</t>
        </is>
      </c>
      <c r="I6" t="n">
        <v>1</v>
      </c>
    </row>
    <row r="7">
      <c r="A7" t="inlineStr">
        <is>
          <t>attrition</t>
        </is>
      </c>
      <c r="B7" t="inlineStr">
        <is>
          <t>Deposit customer attrition, twelve month horizon</t>
        </is>
      </c>
      <c r="C7" t="inlineStr">
        <is>
          <t>f06</t>
        </is>
      </c>
      <c r="D7" t="inlineStr">
        <is>
          <t>2</t>
        </is>
      </c>
      <c r="E7" t="inlineStr">
        <is>
          <t>sole</t>
        </is>
      </c>
      <c r="F7" t="inlineStr">
        <is>
          <t>in use</t>
        </is>
      </c>
      <c r="G7" t="inlineStr">
        <is>
          <t>2026-08-31</t>
        </is>
      </c>
      <c r="H7" t="inlineStr">
        <is>
          <t>approved</t>
        </is>
      </c>
      <c r="I7" t="n">
        <v>0.583038203</v>
      </c>
    </row>
    <row r="8">
      <c r="A8" t="inlineStr">
        <is>
          <t>relief</t>
        </is>
      </c>
      <c r="B8" t="inlineStr">
        <is>
          <t>Monetary relief on consumer complaints</t>
        </is>
      </c>
      <c r="C8" t="inlineStr">
        <is>
          <t>f07</t>
        </is>
      </c>
      <c r="D8" t="inlineStr">
        <is>
          <t>2</t>
        </is>
      </c>
      <c r="E8" t="inlineStr">
        <is>
          <t>sole</t>
        </is>
      </c>
      <c r="F8" t="inlineStr">
        <is>
          <t>development</t>
        </is>
      </c>
      <c r="G8" t="inlineStr">
        <is>
          <t>2026-08-31</t>
        </is>
      </c>
      <c r="H8" t="inlineStr">
        <is>
          <t>not approved</t>
        </is>
      </c>
      <c r="I8" t="n">
        <v>0.8688340613</v>
      </c>
    </row>
    <row r="9">
      <c r="A9" t="inlineStr">
        <is>
          <t>cure</t>
        </is>
      </c>
      <c r="B9" t="inlineStr">
        <is>
          <t>Cure within ninety days for delinquent loans</t>
        </is>
      </c>
      <c r="C9" t="inlineStr">
        <is>
          <t>f09</t>
        </is>
      </c>
      <c r="D9" t="inlineStr">
        <is>
          <t>2</t>
        </is>
      </c>
      <c r="E9" t="inlineStr">
        <is>
          <t>sole</t>
        </is>
      </c>
      <c r="F9" t="inlineStr">
        <is>
          <t>in use</t>
        </is>
      </c>
      <c r="G9" t="inlineStr">
        <is>
          <t>2026-08-31</t>
        </is>
      </c>
      <c r="H9" t="inlineStr">
        <is>
          <t>approved</t>
        </is>
      </c>
      <c r="I9" t="n">
        <v>0.786574349</v>
      </c>
    </row>
    <row r="10"/>
    <row r="11">
      <c r="A11" t="inlineStr">
        <is>
          <t>Source: Source: mixed, the model inventory, as of 2026-08-31.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29" customWidth="1" min="3" max="3"/>
  </cols>
  <sheetData>
    <row r="1">
      <c r="A1" s="1" t="inlineStr">
        <is>
          <t>Method</t>
        </is>
      </c>
      <c r="B1" s="1" t="inlineStr">
        <is>
          <t>Mean absolute error, share of actual</t>
        </is>
      </c>
      <c r="C1" s="1" t="inlineStr">
        <is>
          <t>Mean error, share of actual</t>
        </is>
      </c>
    </row>
    <row r="2">
      <c r="A2" t="inlineStr">
        <is>
          <t>Roll rates with the seasonal adjustment</t>
        </is>
      </c>
      <c r="B2" t="n">
        <v>0.07125304946</v>
      </c>
      <c r="C2" t="n">
        <v>-0.06937250619</v>
      </c>
    </row>
    <row r="3">
      <c r="A3" t="inlineStr">
        <is>
          <t>Roll rates without it</t>
        </is>
      </c>
      <c r="B3" t="n">
        <v>0.06668810167</v>
      </c>
      <c r="C3" t="n">
        <v>-0.05534265731</v>
      </c>
    </row>
    <row r="4">
      <c r="A4" t="inlineStr">
        <is>
          <t>Naive: the last six months again</t>
        </is>
      </c>
      <c r="B4" t="n">
        <v>0.2147938816</v>
      </c>
      <c r="C4" t="n">
        <v>-0.1861677583</v>
      </c>
    </row>
    <row r="5">
      <c r="A5" t="inlineStr">
        <is>
          <t>Seasonal naive: the same months a year earlier</t>
        </is>
      </c>
      <c r="B5" t="n">
        <v>0.4633619546</v>
      </c>
      <c r="C5" t="n">
        <v>-0.4633619546</v>
      </c>
    </row>
    <row r="6"/>
    <row r="7">
      <c r="A7" t="inlineStr">
        <is>
          <t>Source: Source: generated, Harborline installment and card loans, September 2023 to August 2026, seed 20260831, as of 2026-08-31.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2026-09-27T06:28:51Z</dcterms:created>
  <dcterms:modified xsi:type="dcterms:W3CDTF">2026-09-27T06:28:51Z</dcterms:modified>
</cp:coreProperties>
</file>